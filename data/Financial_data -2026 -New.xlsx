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-110" yWindow="-110" windowWidth="19420" windowHeight="10420" activeTab="2"/>
  </bookViews>
  <sheets>
    <sheet name="Projects" sheetId="14" r:id="rId1"/>
    <sheet name="Accounts" sheetId="18" r:id="rId2"/>
    <sheet name="Expenses" sheetId="17" r:id="rId3"/>
  </sheets>
  <definedNames>
    <definedName name="_xlnm._FilterDatabase" localSheetId="2" hidden="1">Expenses!$A$1:$H$82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YtmsxiYxSltMz/4V5IGsgPA1+ON+42qilcZvRQlC4+Q="/>
    </ext>
  </extLst>
</workbook>
</file>

<file path=xl/calcChain.xml><?xml version="1.0" encoding="utf-8"?>
<calcChain xmlns="http://schemas.openxmlformats.org/spreadsheetml/2006/main">
  <c r="G3" i="14" l="1"/>
  <c r="G8" i="14"/>
  <c r="G9" i="14"/>
  <c r="G10" i="14"/>
  <c r="G2" i="14"/>
  <c r="G4" i="14"/>
  <c r="G5" i="14"/>
  <c r="G6" i="14"/>
  <c r="G7" i="14"/>
</calcChain>
</file>

<file path=xl/sharedStrings.xml><?xml version="1.0" encoding="utf-8"?>
<sst xmlns="http://schemas.openxmlformats.org/spreadsheetml/2006/main" count="598" uniqueCount="111">
  <si>
    <t>Year</t>
  </si>
  <si>
    <t>Consultant</t>
  </si>
  <si>
    <t>Project_Name</t>
  </si>
  <si>
    <t>Client</t>
  </si>
  <si>
    <t>Project</t>
  </si>
  <si>
    <t>Date</t>
  </si>
  <si>
    <t>Description</t>
  </si>
  <si>
    <t>Fuel</t>
  </si>
  <si>
    <t>BANK CHARGES</t>
  </si>
  <si>
    <t>BUSINESS DEVELOPMENT</t>
  </si>
  <si>
    <t>Category</t>
  </si>
  <si>
    <t>Name</t>
  </si>
  <si>
    <t>Capacity Building</t>
  </si>
  <si>
    <t>GCBP</t>
  </si>
  <si>
    <t>C3 2025-2026</t>
  </si>
  <si>
    <t>Swisscontact</t>
  </si>
  <si>
    <t>Population Council</t>
  </si>
  <si>
    <t>Amount (RWF)</t>
  </si>
  <si>
    <t>General</t>
  </si>
  <si>
    <t>Project ID</t>
  </si>
  <si>
    <t>Account_Code</t>
  </si>
  <si>
    <t>Account_Name</t>
  </si>
  <si>
    <t>PROJ2025411111</t>
  </si>
  <si>
    <t>MINICOM</t>
  </si>
  <si>
    <t>PROJ2025341128</t>
  </si>
  <si>
    <t>Baseline Survey for Agroinnovation Project - FOSTE</t>
  </si>
  <si>
    <t>PROJ202551040</t>
  </si>
  <si>
    <t>Population Council PERCC</t>
  </si>
  <si>
    <t>GCBP-03</t>
  </si>
  <si>
    <t>Respondent Compensation</t>
  </si>
  <si>
    <t>GNRL</t>
  </si>
  <si>
    <t>GreenStars</t>
  </si>
  <si>
    <t>Project_ID</t>
  </si>
  <si>
    <t>GIZ</t>
  </si>
  <si>
    <t>PROJ20254111110</t>
  </si>
  <si>
    <t>DIAGNOSTIC STUDY OF RWANDAN`S BUSINESS SECTOR REGULATION IN LIGHT OF AFCFTA PROTOCOL ON TRADE SERVICES</t>
  </si>
  <si>
    <t>Overheads</t>
  </si>
  <si>
    <t>TRAINER FEES</t>
  </si>
  <si>
    <t>DIRECT EXPENSES</t>
  </si>
  <si>
    <t>CONSULTANCY RELATED TO PROJECT</t>
  </si>
  <si>
    <t>OTHER EXPENSES RELATED TO THE PROJECT</t>
  </si>
  <si>
    <t>CONSULTANCY EXPENSES</t>
  </si>
  <si>
    <t>DATA COLLECTORS SALARIES</t>
  </si>
  <si>
    <t>AIRTIME AND INTERNET</t>
  </si>
  <si>
    <t>MOTO TRANSPORT FOR FIELD STAFF</t>
  </si>
  <si>
    <t>CAR TRANSPORT FOR FIELD TEAM</t>
  </si>
  <si>
    <t>FIELD STAFF PERDIEM</t>
  </si>
  <si>
    <t>SMALL OFFICE EQUIPMENT</t>
  </si>
  <si>
    <t>INTERNET - AIRTIME AND SUBSCRIPTIONS</t>
  </si>
  <si>
    <t>REPAIRS AND MAINTENANCE (CARS)</t>
  </si>
  <si>
    <t>REPAIRS AND MAINTENANCE (COMPUTER, MATERIALS)</t>
  </si>
  <si>
    <t>TRANSPORT ( LOCAL OR INTERNATIONAL)</t>
  </si>
  <si>
    <t>TAXES AND LEGAL FEES(RRA, RSBB)</t>
  </si>
  <si>
    <t>CLEANNING &amp; SECURITY</t>
  </si>
  <si>
    <t>SALARY AND WAGES</t>
  </si>
  <si>
    <t>CASUAL LABOR</t>
  </si>
  <si>
    <t>UTILITIES EXPENSES(WATER AND ELECTRICITY)</t>
  </si>
  <si>
    <t>CLASSROOM RENTALS</t>
  </si>
  <si>
    <t>OTHER EXPENSES AND COSTS RELATED TO CBUILDING</t>
  </si>
  <si>
    <t>OTHER EXPENSES RELATED TO THE COMPANY</t>
  </si>
  <si>
    <t>TRANSPORT &amp; AIRTIME RELATED TO STAFF(MONTHLY)</t>
  </si>
  <si>
    <t>OFFICE RENTAL</t>
  </si>
  <si>
    <t>MOMO CHARGES</t>
  </si>
  <si>
    <t>DEPRECIATION</t>
  </si>
  <si>
    <t>CAR RENT</t>
  </si>
  <si>
    <t>INTERNAL LOAN ACCOUNT</t>
  </si>
  <si>
    <t>FINES AND PENALITIES</t>
  </si>
  <si>
    <t>CIT EXPENSES</t>
  </si>
  <si>
    <t>WHT EXPENSE</t>
  </si>
  <si>
    <t>ELECTRONICS EQUIPMENT(PC, LAPTOPS, SCREENS, ETC)</t>
  </si>
  <si>
    <t>FURNITURES &amp; FIXTURES(DESKS, CHAIRS, CABINETS, ETC)</t>
  </si>
  <si>
    <t>VEHICLES &amp; MACHINERY</t>
  </si>
  <si>
    <t>NEW CAR RAI 540 T KIA-NIRO</t>
  </si>
  <si>
    <t>LOAN FROM THE COMPANY</t>
  </si>
  <si>
    <t>MOMO ONE 1</t>
  </si>
  <si>
    <t>MOMO TWO 2</t>
  </si>
  <si>
    <t>PETTY CASH</t>
  </si>
  <si>
    <t>BANK OF AFRICA[FRW]</t>
  </si>
  <si>
    <t>EQUITY BANK</t>
  </si>
  <si>
    <t>BANK BOA[USD]</t>
  </si>
  <si>
    <t>LOAN TO THE CAMPANY</t>
  </si>
  <si>
    <t>STAFF WEFARE</t>
  </si>
  <si>
    <t>SUBSCRIPTIONS</t>
  </si>
  <si>
    <t>Total Expenses</t>
  </si>
  <si>
    <t>2026-01</t>
  </si>
  <si>
    <t>2026-02</t>
  </si>
  <si>
    <t>2026-03</t>
  </si>
  <si>
    <t>2026-04</t>
  </si>
  <si>
    <t>Total Budget</t>
  </si>
  <si>
    <t>Total Income</t>
  </si>
  <si>
    <t>FIELD STAFF  PERDIEM</t>
  </si>
  <si>
    <t xml:space="preserve">RESPONDENT INCENTIVE </t>
  </si>
  <si>
    <t xml:space="preserve">STAFF WELFARE </t>
  </si>
  <si>
    <t xml:space="preserve">FUEL </t>
  </si>
  <si>
    <t>TRANSACTION SERVICE CHARGE</t>
  </si>
  <si>
    <t xml:space="preserve">SALARY AND WAGES </t>
  </si>
  <si>
    <t>OTHER EXPENSES RELATED TO BUSINESS DEVELOPMENT</t>
  </si>
  <si>
    <t>Enumerator</t>
  </si>
  <si>
    <t>Field Operations</t>
  </si>
  <si>
    <t>RWARRI 2 YEARS MVAM EVALUATION</t>
  </si>
  <si>
    <t>PROJ202541126</t>
  </si>
  <si>
    <t>Samuel Hall</t>
  </si>
  <si>
    <t>CMRFS BASELINE/Samuel Hall</t>
  </si>
  <si>
    <t xml:space="preserve">RWARRI 2 </t>
  </si>
  <si>
    <t>PROJ2026101143</t>
  </si>
  <si>
    <t>2026</t>
  </si>
  <si>
    <t>GCBP-04</t>
  </si>
  <si>
    <t>C4 2026</t>
  </si>
  <si>
    <t>Classroom</t>
  </si>
  <si>
    <t>Trainers</t>
  </si>
  <si>
    <t>C3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</si>
</sst>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RWF]\ #,##0"/>
    <numFmt numFmtId="165" formatCode="_(* #,##0_);_(* \(#,##0\);_(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49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49" fontId="3" fillId="0" borderId="0" xfId="0" applyNumberFormat="1" applyFont="1"/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165" fontId="0" fillId="0" borderId="1" xfId="1" applyNumberFormat="1" applyFont="1" applyBorder="1"/>
    <xf numFmtId="165" fontId="0" fillId="0" borderId="0" xfId="1" applyNumberFormat="1" applyFont="1" applyBorder="1"/>
    <xf numFmtId="43" fontId="0" fillId="0" borderId="0" xfId="0" applyNumberForma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opLeftCell="C1" workbookViewId="0">
      <selection activeCell="D2" sqref="D2"/>
    </sheetView>
  </sheetViews>
  <sheetFormatPr defaultRowHeight="14.5" x14ac:dyDescent="0.35"/>
  <cols>
    <col min="1" max="1" width="9.54296875" style="9" customWidth="1"/>
    <col min="2" max="2" width="15" bestFit="1" customWidth="1"/>
    <col min="3" max="3" width="17.08984375" customWidth="1"/>
    <col min="4" max="4" width="101.90625" customWidth="1"/>
    <col min="5" max="5" width="16.453125" bestFit="1" customWidth="1"/>
    <col min="6" max="6" width="20.08984375" customWidth="1"/>
    <col min="7" max="7" width="13.81640625" bestFit="1" customWidth="1"/>
    <col min="8" max="8" width="14.453125" bestFit="1" customWidth="1"/>
    <col min="13" max="13" width="13.36328125" bestFit="1" customWidth="1"/>
  </cols>
  <sheetData>
    <row r="1" spans="1:8" x14ac:dyDescent="0.35">
      <c r="A1" s="8" t="s">
        <v>0</v>
      </c>
      <c r="B1" t="s">
        <v>10</v>
      </c>
      <c r="C1" t="s">
        <v>19</v>
      </c>
      <c r="D1" t="s">
        <v>11</v>
      </c>
      <c r="E1" t="s">
        <v>3</v>
      </c>
      <c r="F1" t="s">
        <v>88</v>
      </c>
      <c r="G1" t="s">
        <v>83</v>
      </c>
      <c r="H1" t="s">
        <v>89</v>
      </c>
    </row>
    <row r="2" spans="1:8" x14ac:dyDescent="0.35">
      <c r="A2" s="16" t="s">
        <v>105</v>
      </c>
      <c r="B2" t="s">
        <v>12</v>
      </c>
      <c r="C2" s="3" t="s">
        <v>28</v>
      </c>
      <c r="D2" t="s">
        <v>14</v>
      </c>
      <c r="E2" t="s">
        <v>13</v>
      </c>
      <c r="F2" s="1">
        <v>17280000</v>
      </c>
      <c r="G2" s="1">
        <f>SUMIFS(Expenses!H:H, Expenses!E:E, Projects!C2)</f>
        <v>1828568</v>
      </c>
      <c r="H2" s="1">
        <v>3575000</v>
      </c>
    </row>
    <row r="3" spans="1:8" x14ac:dyDescent="0.35">
      <c r="A3" s="16" t="s">
        <v>105</v>
      </c>
      <c r="B3" t="s">
        <v>12</v>
      </c>
      <c r="C3" s="3" t="s">
        <v>106</v>
      </c>
      <c r="D3" s="15" t="s">
        <v>107</v>
      </c>
      <c r="E3" t="s">
        <v>13</v>
      </c>
      <c r="F3" s="1">
        <v>14500000</v>
      </c>
      <c r="G3" s="1">
        <f>SUMIFS(Expenses!H:H, Expenses!E:E, Projects!C3)</f>
        <v>1779178</v>
      </c>
      <c r="H3" s="1">
        <v>5275000</v>
      </c>
    </row>
    <row r="4" spans="1:8" x14ac:dyDescent="0.35">
      <c r="A4" s="16" t="s">
        <v>105</v>
      </c>
      <c r="B4" t="s">
        <v>4</v>
      </c>
      <c r="C4" t="s">
        <v>34</v>
      </c>
      <c r="D4" t="s">
        <v>23</v>
      </c>
      <c r="E4" t="s">
        <v>23</v>
      </c>
      <c r="F4" s="1">
        <v>24900000</v>
      </c>
      <c r="G4" s="1">
        <f>SUMIFS(Expenses!H:H, Expenses!E:E, Projects!C4)</f>
        <v>14562200</v>
      </c>
      <c r="H4" s="1">
        <v>19512480</v>
      </c>
    </row>
    <row r="5" spans="1:8" x14ac:dyDescent="0.35">
      <c r="A5" s="16" t="s">
        <v>105</v>
      </c>
      <c r="B5" t="s">
        <v>4</v>
      </c>
      <c r="C5" t="s">
        <v>24</v>
      </c>
      <c r="D5" s="15" t="s">
        <v>25</v>
      </c>
      <c r="E5" t="s">
        <v>15</v>
      </c>
      <c r="F5" s="1">
        <v>18000000</v>
      </c>
      <c r="G5" s="1">
        <f>SUMIFS(Expenses!H:H, Expenses!E:E, Projects!C5)</f>
        <v>3580500</v>
      </c>
      <c r="H5" s="1">
        <v>12052307</v>
      </c>
    </row>
    <row r="6" spans="1:8" x14ac:dyDescent="0.35">
      <c r="A6" s="16" t="s">
        <v>105</v>
      </c>
      <c r="B6" t="s">
        <v>4</v>
      </c>
      <c r="C6" t="s">
        <v>26</v>
      </c>
      <c r="D6" t="s">
        <v>27</v>
      </c>
      <c r="E6" t="s">
        <v>16</v>
      </c>
      <c r="F6" s="1">
        <v>19500000</v>
      </c>
      <c r="G6" s="1">
        <f>SUMIFS(Expenses!H:H, Expenses!E:E, Projects!C6)</f>
        <v>0</v>
      </c>
      <c r="H6" s="1">
        <v>7290720</v>
      </c>
    </row>
    <row r="7" spans="1:8" x14ac:dyDescent="0.35">
      <c r="A7" s="16" t="s">
        <v>105</v>
      </c>
      <c r="B7" s="3" t="s">
        <v>18</v>
      </c>
      <c r="C7" s="3" t="s">
        <v>30</v>
      </c>
      <c r="D7" s="3" t="s">
        <v>18</v>
      </c>
      <c r="E7" s="3" t="s">
        <v>31</v>
      </c>
      <c r="F7" s="1">
        <v>0</v>
      </c>
      <c r="G7" s="1">
        <f>SUMIFS(Expenses!H:H, Expenses!E:E, Projects!C7)</f>
        <v>32896167.008823529</v>
      </c>
      <c r="H7" s="1">
        <v>0</v>
      </c>
    </row>
    <row r="8" spans="1:8" x14ac:dyDescent="0.35">
      <c r="A8" s="16" t="s">
        <v>105</v>
      </c>
      <c r="B8" s="3" t="s">
        <v>4</v>
      </c>
      <c r="C8" s="15" t="s">
        <v>22</v>
      </c>
      <c r="D8" s="15" t="s">
        <v>35</v>
      </c>
      <c r="E8" s="3" t="s">
        <v>33</v>
      </c>
      <c r="F8" s="1">
        <v>7200000</v>
      </c>
      <c r="G8" s="1">
        <f>SUMIFS(Expenses!H:H, Expenses!E:E, Projects!C8)</f>
        <v>200000</v>
      </c>
      <c r="H8" s="1">
        <v>0</v>
      </c>
    </row>
    <row r="9" spans="1:8" x14ac:dyDescent="0.35">
      <c r="A9" s="16" t="s">
        <v>105</v>
      </c>
      <c r="B9" s="3" t="s">
        <v>4</v>
      </c>
      <c r="C9" t="s">
        <v>100</v>
      </c>
      <c r="D9" s="15" t="s">
        <v>99</v>
      </c>
      <c r="E9" t="s">
        <v>103</v>
      </c>
      <c r="F9" s="1">
        <v>3070000</v>
      </c>
      <c r="G9" s="1">
        <f>SUMIFS(Expenses!H:H, Expenses!E:E, Projects!C9)</f>
        <v>0</v>
      </c>
      <c r="H9" s="1">
        <v>780508</v>
      </c>
    </row>
    <row r="10" spans="1:8" x14ac:dyDescent="0.35">
      <c r="A10" s="16" t="s">
        <v>105</v>
      </c>
      <c r="B10" s="3" t="s">
        <v>4</v>
      </c>
      <c r="C10" s="15" t="s">
        <v>104</v>
      </c>
      <c r="D10" s="15" t="s">
        <v>102</v>
      </c>
      <c r="E10" s="15" t="s">
        <v>101</v>
      </c>
      <c r="F10" s="1">
        <v>45124026</v>
      </c>
      <c r="G10" s="1">
        <f>SUMIFS(Expenses!H:H, Expenses!E:E, Projects!C10)</f>
        <v>8220750</v>
      </c>
      <c r="H10" s="1">
        <v>19270632</v>
      </c>
    </row>
    <row r="11" spans="1:8" x14ac:dyDescent="0.35">
      <c r="F11" s="1"/>
    </row>
    <row r="12" spans="1:8" x14ac:dyDescent="0.35">
      <c r="G12" s="11"/>
      <c r="H12" s="12"/>
    </row>
    <row r="17" spans="13:13" x14ac:dyDescent="0.35">
      <c r="M17" s="11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E15" sqref="E15"/>
    </sheetView>
  </sheetViews>
  <sheetFormatPr defaultRowHeight="14.5" x14ac:dyDescent="0.35"/>
  <cols>
    <col min="1" max="1" width="12.90625" bestFit="1" customWidth="1"/>
  </cols>
  <sheetData>
    <row r="1" spans="1:2" x14ac:dyDescent="0.35">
      <c r="A1" s="4" t="s">
        <v>20</v>
      </c>
      <c r="B1" s="4" t="s">
        <v>21</v>
      </c>
    </row>
    <row r="2" spans="1:2" x14ac:dyDescent="0.35">
      <c r="A2" s="4">
        <v>5001</v>
      </c>
      <c r="B2" s="5" t="s">
        <v>37</v>
      </c>
    </row>
    <row r="3" spans="1:2" x14ac:dyDescent="0.35">
      <c r="A3" s="4">
        <v>6014</v>
      </c>
      <c r="B3" s="5" t="s">
        <v>57</v>
      </c>
    </row>
    <row r="4" spans="1:2" x14ac:dyDescent="0.35">
      <c r="A4" s="4">
        <v>5500</v>
      </c>
      <c r="B4" s="5" t="s">
        <v>38</v>
      </c>
    </row>
    <row r="5" spans="1:2" x14ac:dyDescent="0.35">
      <c r="A5" s="4">
        <v>5501</v>
      </c>
      <c r="B5" s="5" t="s">
        <v>39</v>
      </c>
    </row>
    <row r="6" spans="1:2" x14ac:dyDescent="0.35">
      <c r="A6" s="4">
        <v>5502</v>
      </c>
      <c r="B6" s="6" t="s">
        <v>40</v>
      </c>
    </row>
    <row r="7" spans="1:2" x14ac:dyDescent="0.35">
      <c r="A7" s="4">
        <v>5503</v>
      </c>
      <c r="B7" s="6" t="s">
        <v>41</v>
      </c>
    </row>
    <row r="8" spans="1:2" x14ac:dyDescent="0.35">
      <c r="A8" s="4">
        <v>6015</v>
      </c>
      <c r="B8" s="6" t="s">
        <v>58</v>
      </c>
    </row>
    <row r="9" spans="1:2" x14ac:dyDescent="0.35">
      <c r="A9" s="4">
        <v>5507</v>
      </c>
      <c r="B9" s="5" t="s">
        <v>42</v>
      </c>
    </row>
    <row r="10" spans="1:2" x14ac:dyDescent="0.35">
      <c r="A10" s="4">
        <v>5508</v>
      </c>
      <c r="B10" s="5" t="s">
        <v>43</v>
      </c>
    </row>
    <row r="11" spans="1:2" x14ac:dyDescent="0.35">
      <c r="A11" s="4">
        <v>5509</v>
      </c>
      <c r="B11" s="5" t="s">
        <v>44</v>
      </c>
    </row>
    <row r="12" spans="1:2" x14ac:dyDescent="0.35">
      <c r="A12" s="4">
        <v>5510</v>
      </c>
      <c r="B12" s="5" t="s">
        <v>45</v>
      </c>
    </row>
    <row r="13" spans="1:2" x14ac:dyDescent="0.35">
      <c r="A13" s="4">
        <v>5511</v>
      </c>
      <c r="B13" s="5" t="s">
        <v>46</v>
      </c>
    </row>
    <row r="14" spans="1:2" x14ac:dyDescent="0.35">
      <c r="A14" s="4">
        <v>6001</v>
      </c>
      <c r="B14" s="5" t="s">
        <v>81</v>
      </c>
    </row>
    <row r="15" spans="1:2" x14ac:dyDescent="0.35">
      <c r="A15" s="4">
        <v>6002</v>
      </c>
      <c r="B15" s="7" t="s">
        <v>7</v>
      </c>
    </row>
    <row r="16" spans="1:2" x14ac:dyDescent="0.35">
      <c r="A16" s="4">
        <v>6003</v>
      </c>
      <c r="B16" s="5" t="s">
        <v>47</v>
      </c>
    </row>
    <row r="17" spans="1:2" x14ac:dyDescent="0.35">
      <c r="A17" s="4">
        <v>6004</v>
      </c>
      <c r="B17" s="7" t="s">
        <v>82</v>
      </c>
    </row>
    <row r="18" spans="1:2" x14ac:dyDescent="0.35">
      <c r="A18" s="4">
        <v>6005</v>
      </c>
      <c r="B18" s="5" t="s">
        <v>49</v>
      </c>
    </row>
    <row r="19" spans="1:2" x14ac:dyDescent="0.35">
      <c r="A19" s="4">
        <v>6006</v>
      </c>
      <c r="B19" s="7" t="s">
        <v>50</v>
      </c>
    </row>
    <row r="20" spans="1:2" x14ac:dyDescent="0.35">
      <c r="A20" s="4">
        <v>6007</v>
      </c>
      <c r="B20" s="7" t="s">
        <v>51</v>
      </c>
    </row>
    <row r="21" spans="1:2" x14ac:dyDescent="0.35">
      <c r="A21" s="4">
        <v>6008</v>
      </c>
      <c r="B21" s="7" t="s">
        <v>52</v>
      </c>
    </row>
    <row r="22" spans="1:2" x14ac:dyDescent="0.35">
      <c r="A22" s="4">
        <v>6010</v>
      </c>
      <c r="B22" s="5" t="s">
        <v>53</v>
      </c>
    </row>
    <row r="23" spans="1:2" x14ac:dyDescent="0.35">
      <c r="A23" s="4">
        <v>6011</v>
      </c>
      <c r="B23" s="7" t="s">
        <v>54</v>
      </c>
    </row>
    <row r="24" spans="1:2" x14ac:dyDescent="0.35">
      <c r="A24" s="4">
        <v>6012</v>
      </c>
      <c r="B24" s="5" t="s">
        <v>55</v>
      </c>
    </row>
    <row r="25" spans="1:2" x14ac:dyDescent="0.35">
      <c r="A25" s="4">
        <v>6013</v>
      </c>
      <c r="B25" s="5" t="s">
        <v>56</v>
      </c>
    </row>
    <row r="26" spans="1:2" x14ac:dyDescent="0.35">
      <c r="A26" s="4">
        <v>6041</v>
      </c>
      <c r="B26" s="5" t="s">
        <v>59</v>
      </c>
    </row>
    <row r="27" spans="1:2" x14ac:dyDescent="0.35">
      <c r="A27" s="4">
        <v>6042</v>
      </c>
      <c r="B27" s="7" t="s">
        <v>60</v>
      </c>
    </row>
    <row r="28" spans="1:2" x14ac:dyDescent="0.35">
      <c r="A28" s="4">
        <v>6043</v>
      </c>
      <c r="B28" s="5" t="s">
        <v>61</v>
      </c>
    </row>
    <row r="29" spans="1:2" x14ac:dyDescent="0.35">
      <c r="A29" s="4">
        <v>6047</v>
      </c>
      <c r="B29" s="5" t="s">
        <v>64</v>
      </c>
    </row>
    <row r="30" spans="1:2" x14ac:dyDescent="0.35">
      <c r="A30" s="4">
        <v>6044</v>
      </c>
      <c r="B30" s="7" t="s">
        <v>62</v>
      </c>
    </row>
    <row r="31" spans="1:2" x14ac:dyDescent="0.35">
      <c r="A31" s="4">
        <v>6045</v>
      </c>
      <c r="B31" s="5" t="s">
        <v>8</v>
      </c>
    </row>
    <row r="32" spans="1:2" x14ac:dyDescent="0.35">
      <c r="A32" s="4">
        <v>6046</v>
      </c>
      <c r="B32" s="5" t="s">
        <v>63</v>
      </c>
    </row>
    <row r="33" spans="1:2" x14ac:dyDescent="0.35">
      <c r="A33" s="4">
        <v>6048</v>
      </c>
      <c r="B33" s="5" t="s">
        <v>9</v>
      </c>
    </row>
    <row r="34" spans="1:2" x14ac:dyDescent="0.35">
      <c r="A34" s="4">
        <v>6049</v>
      </c>
      <c r="B34" s="5" t="s">
        <v>65</v>
      </c>
    </row>
    <row r="35" spans="1:2" x14ac:dyDescent="0.35">
      <c r="A35" s="4">
        <v>6050</v>
      </c>
      <c r="B35" s="5" t="s">
        <v>66</v>
      </c>
    </row>
    <row r="36" spans="1:2" x14ac:dyDescent="0.35">
      <c r="A36" s="4">
        <v>6051</v>
      </c>
      <c r="B36" s="5" t="s">
        <v>67</v>
      </c>
    </row>
    <row r="37" spans="1:2" x14ac:dyDescent="0.35">
      <c r="A37" s="4">
        <v>50011</v>
      </c>
      <c r="B37" s="5" t="s">
        <v>68</v>
      </c>
    </row>
    <row r="38" spans="1:2" x14ac:dyDescent="0.35">
      <c r="A38" s="4">
        <v>5512</v>
      </c>
      <c r="B38" s="6" t="s">
        <v>29</v>
      </c>
    </row>
    <row r="39" spans="1:2" x14ac:dyDescent="0.35">
      <c r="A39" s="4">
        <v>1060</v>
      </c>
      <c r="B39" s="6" t="s">
        <v>69</v>
      </c>
    </row>
    <row r="40" spans="1:2" x14ac:dyDescent="0.35">
      <c r="A40" s="4">
        <v>1070</v>
      </c>
      <c r="B40" s="6" t="s">
        <v>70</v>
      </c>
    </row>
    <row r="41" spans="1:2" x14ac:dyDescent="0.35">
      <c r="A41" s="4">
        <v>1080</v>
      </c>
      <c r="B41" s="6" t="s">
        <v>71</v>
      </c>
    </row>
    <row r="42" spans="1:2" x14ac:dyDescent="0.35">
      <c r="A42" s="4">
        <v>1081</v>
      </c>
      <c r="B42" s="6" t="s">
        <v>72</v>
      </c>
    </row>
    <row r="43" spans="1:2" x14ac:dyDescent="0.35">
      <c r="A43" s="4">
        <v>1091</v>
      </c>
      <c r="B43" s="6" t="s">
        <v>73</v>
      </c>
    </row>
    <row r="44" spans="1:2" x14ac:dyDescent="0.35">
      <c r="A44" s="4">
        <v>1002</v>
      </c>
      <c r="B44" s="6" t="s">
        <v>74</v>
      </c>
    </row>
    <row r="45" spans="1:2" x14ac:dyDescent="0.35">
      <c r="A45" s="4">
        <v>1003</v>
      </c>
      <c r="B45" s="6" t="s">
        <v>75</v>
      </c>
    </row>
    <row r="46" spans="1:2" x14ac:dyDescent="0.35">
      <c r="A46" s="4">
        <v>1005</v>
      </c>
      <c r="B46" s="6" t="s">
        <v>76</v>
      </c>
    </row>
    <row r="47" spans="1:2" x14ac:dyDescent="0.35">
      <c r="A47" s="4">
        <v>1010</v>
      </c>
      <c r="B47" s="6" t="s">
        <v>77</v>
      </c>
    </row>
    <row r="48" spans="1:2" x14ac:dyDescent="0.35">
      <c r="A48" s="4">
        <v>1011</v>
      </c>
      <c r="B48" s="6" t="s">
        <v>78</v>
      </c>
    </row>
    <row r="49" spans="1:2" x14ac:dyDescent="0.35">
      <c r="A49" s="4">
        <v>1012</v>
      </c>
      <c r="B49" s="6" t="s">
        <v>79</v>
      </c>
    </row>
    <row r="50" spans="1:2" x14ac:dyDescent="0.35">
      <c r="A50" s="4">
        <v>2006</v>
      </c>
      <c r="B50" s="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topLeftCell="A49" zoomScale="92" zoomScaleNormal="92" workbookViewId="0">
      <selection activeCell="G56" sqref="G56"/>
    </sheetView>
  </sheetViews>
  <sheetFormatPr defaultRowHeight="14.5" x14ac:dyDescent="0.35"/>
  <cols>
    <col min="1" max="1" width="11.6328125" customWidth="1"/>
    <col min="2" max="2" width="17.453125" customWidth="1"/>
    <col min="3" max="3" width="14.6328125" customWidth="1"/>
    <col min="4" max="4" width="44.81640625" customWidth="1"/>
    <col min="5" max="5" width="14.1796875" customWidth="1"/>
    <col min="6" max="6" width="13.26953125" customWidth="1"/>
    <col min="7" max="7" width="94.81640625" bestFit="1" customWidth="1"/>
    <col min="8" max="8" width="13.81640625" customWidth="1"/>
    <col min="12" max="12" width="12.54296875" bestFit="1" customWidth="1"/>
  </cols>
  <sheetData>
    <row r="1" spans="1:8" x14ac:dyDescent="0.35">
      <c r="A1" s="2" t="s">
        <v>5</v>
      </c>
      <c r="B1" t="s">
        <v>10</v>
      </c>
      <c r="C1" t="s">
        <v>20</v>
      </c>
      <c r="D1" t="s">
        <v>21</v>
      </c>
      <c r="E1" t="s">
        <v>32</v>
      </c>
      <c r="F1" t="s">
        <v>2</v>
      </c>
      <c r="G1" t="s">
        <v>6</v>
      </c>
      <c r="H1" t="s">
        <v>17</v>
      </c>
    </row>
    <row r="2" spans="1:8" x14ac:dyDescent="0.35">
      <c r="A2" s="10" t="s">
        <v>84</v>
      </c>
      <c r="B2" t="s">
        <v>109</v>
      </c>
      <c r="C2">
        <v>5001</v>
      </c>
      <c r="D2" t="s">
        <v>37</v>
      </c>
      <c r="E2" t="s">
        <v>28</v>
      </c>
      <c r="F2" t="s">
        <v>14</v>
      </c>
      <c r="G2" t="s">
        <v>37</v>
      </c>
      <c r="H2" s="11">
        <v>608568</v>
      </c>
    </row>
    <row r="3" spans="1:8" ht="14.5" customHeight="1" x14ac:dyDescent="0.35">
      <c r="A3" s="10" t="s">
        <v>84</v>
      </c>
      <c r="B3" s="14" t="s">
        <v>36</v>
      </c>
      <c r="C3">
        <v>6001</v>
      </c>
      <c r="D3" t="s">
        <v>92</v>
      </c>
      <c r="E3" s="3" t="s">
        <v>30</v>
      </c>
      <c r="F3" t="s">
        <v>18</v>
      </c>
      <c r="G3" t="s">
        <v>92</v>
      </c>
      <c r="H3" s="11">
        <v>432410</v>
      </c>
    </row>
    <row r="4" spans="1:8" ht="14.5" customHeight="1" x14ac:dyDescent="0.35">
      <c r="A4" s="10" t="s">
        <v>84</v>
      </c>
      <c r="B4" s="14" t="s">
        <v>36</v>
      </c>
      <c r="C4">
        <v>6002</v>
      </c>
      <c r="D4" t="s">
        <v>93</v>
      </c>
      <c r="E4" s="3" t="s">
        <v>30</v>
      </c>
      <c r="F4" t="s">
        <v>18</v>
      </c>
      <c r="G4" t="s">
        <v>93</v>
      </c>
      <c r="H4" s="11">
        <v>160000</v>
      </c>
    </row>
    <row r="5" spans="1:8" ht="14.5" customHeight="1" x14ac:dyDescent="0.35">
      <c r="A5" s="10" t="s">
        <v>84</v>
      </c>
      <c r="B5" s="14" t="s">
        <v>36</v>
      </c>
      <c r="C5">
        <v>6004</v>
      </c>
      <c r="D5" t="s">
        <v>48</v>
      </c>
      <c r="E5" s="3" t="s">
        <v>30</v>
      </c>
      <c r="F5" t="s">
        <v>18</v>
      </c>
      <c r="G5" t="s">
        <v>48</v>
      </c>
      <c r="H5" s="11">
        <v>55000</v>
      </c>
    </row>
    <row r="6" spans="1:8" ht="14.5" customHeight="1" x14ac:dyDescent="0.35">
      <c r="A6" s="10" t="s">
        <v>84</v>
      </c>
      <c r="B6" s="14" t="s">
        <v>36</v>
      </c>
      <c r="C6">
        <v>6006</v>
      </c>
      <c r="D6" t="s">
        <v>50</v>
      </c>
      <c r="E6" s="3" t="s">
        <v>30</v>
      </c>
      <c r="F6" t="s">
        <v>18</v>
      </c>
      <c r="G6" t="s">
        <v>50</v>
      </c>
      <c r="H6" s="11">
        <v>55000</v>
      </c>
    </row>
    <row r="7" spans="1:8" x14ac:dyDescent="0.35">
      <c r="A7" s="10" t="s">
        <v>84</v>
      </c>
      <c r="B7" s="14" t="s">
        <v>36</v>
      </c>
      <c r="C7">
        <v>6007</v>
      </c>
      <c r="D7" t="s">
        <v>51</v>
      </c>
      <c r="E7" s="3" t="s">
        <v>30</v>
      </c>
      <c r="F7" t="s">
        <v>18</v>
      </c>
      <c r="G7" t="s">
        <v>51</v>
      </c>
      <c r="H7" s="11">
        <v>25000</v>
      </c>
    </row>
    <row r="8" spans="1:8" ht="14.5" customHeight="1" x14ac:dyDescent="0.35">
      <c r="A8" s="10" t="s">
        <v>84</v>
      </c>
      <c r="B8" s="14" t="s">
        <v>36</v>
      </c>
      <c r="C8">
        <v>6008</v>
      </c>
      <c r="D8" t="s">
        <v>52</v>
      </c>
      <c r="E8" s="3" t="s">
        <v>30</v>
      </c>
      <c r="F8" t="s">
        <v>18</v>
      </c>
      <c r="G8" t="s">
        <v>52</v>
      </c>
      <c r="H8" s="11">
        <v>11950</v>
      </c>
    </row>
    <row r="9" spans="1:8" ht="14.5" customHeight="1" x14ac:dyDescent="0.35">
      <c r="A9" s="10" t="s">
        <v>84</v>
      </c>
      <c r="B9" s="14" t="s">
        <v>36</v>
      </c>
      <c r="C9">
        <v>6011</v>
      </c>
      <c r="D9" t="s">
        <v>95</v>
      </c>
      <c r="E9" s="3" t="s">
        <v>30</v>
      </c>
      <c r="F9" t="s">
        <v>18</v>
      </c>
      <c r="G9" t="s">
        <v>95</v>
      </c>
      <c r="H9" s="11">
        <v>4301233</v>
      </c>
    </row>
    <row r="10" spans="1:8" ht="14.5" customHeight="1" x14ac:dyDescent="0.35">
      <c r="A10" s="10" t="s">
        <v>84</v>
      </c>
      <c r="B10" s="14" t="s">
        <v>36</v>
      </c>
      <c r="C10">
        <v>6041</v>
      </c>
      <c r="D10" t="s">
        <v>59</v>
      </c>
      <c r="E10" s="3" t="s">
        <v>30</v>
      </c>
      <c r="F10" t="s">
        <v>18</v>
      </c>
      <c r="G10" t="s">
        <v>59</v>
      </c>
      <c r="H10" s="11">
        <v>64362</v>
      </c>
    </row>
    <row r="11" spans="1:8" ht="14.5" customHeight="1" x14ac:dyDescent="0.35">
      <c r="A11" s="10" t="s">
        <v>84</v>
      </c>
      <c r="B11" s="14" t="s">
        <v>36</v>
      </c>
      <c r="C11">
        <v>6043</v>
      </c>
      <c r="D11" t="s">
        <v>61</v>
      </c>
      <c r="E11" s="3" t="s">
        <v>30</v>
      </c>
      <c r="F11" t="s">
        <v>18</v>
      </c>
      <c r="G11" t="s">
        <v>61</v>
      </c>
      <c r="H11" s="11">
        <v>600000</v>
      </c>
    </row>
    <row r="12" spans="1:8" ht="14.5" customHeight="1" x14ac:dyDescent="0.35">
      <c r="A12" s="10" t="s">
        <v>84</v>
      </c>
      <c r="B12" s="14" t="s">
        <v>36</v>
      </c>
      <c r="C12">
        <v>6045</v>
      </c>
      <c r="D12" t="s">
        <v>8</v>
      </c>
      <c r="E12" s="3" t="s">
        <v>30</v>
      </c>
      <c r="F12" t="s">
        <v>18</v>
      </c>
      <c r="G12" t="s">
        <v>8</v>
      </c>
      <c r="H12" s="11">
        <v>8280</v>
      </c>
    </row>
    <row r="13" spans="1:8" ht="14.5" customHeight="1" x14ac:dyDescent="0.35">
      <c r="A13" s="10" t="s">
        <v>84</v>
      </c>
      <c r="B13" s="14" t="s">
        <v>36</v>
      </c>
      <c r="C13">
        <v>6047</v>
      </c>
      <c r="D13" t="s">
        <v>64</v>
      </c>
      <c r="E13" s="3" t="s">
        <v>30</v>
      </c>
      <c r="F13" t="s">
        <v>18</v>
      </c>
      <c r="G13" t="s">
        <v>64</v>
      </c>
      <c r="H13" s="11">
        <v>570000</v>
      </c>
    </row>
    <row r="14" spans="1:8" ht="14.5" customHeight="1" x14ac:dyDescent="0.35">
      <c r="A14" s="10" t="s">
        <v>84</v>
      </c>
      <c r="B14" s="14" t="s">
        <v>36</v>
      </c>
      <c r="C14">
        <v>6048</v>
      </c>
      <c r="D14" t="s">
        <v>9</v>
      </c>
      <c r="E14" s="3" t="s">
        <v>30</v>
      </c>
      <c r="F14" t="s">
        <v>18</v>
      </c>
      <c r="G14" t="s">
        <v>9</v>
      </c>
      <c r="H14" s="11">
        <v>67000</v>
      </c>
    </row>
    <row r="15" spans="1:8" ht="14.5" customHeight="1" x14ac:dyDescent="0.35">
      <c r="A15" s="10" t="s">
        <v>84</v>
      </c>
      <c r="B15" s="14" t="s">
        <v>36</v>
      </c>
      <c r="C15">
        <v>50011</v>
      </c>
      <c r="D15" t="s">
        <v>68</v>
      </c>
      <c r="E15" s="3" t="s">
        <v>30</v>
      </c>
      <c r="F15" t="s">
        <v>18</v>
      </c>
      <c r="G15" t="s">
        <v>68</v>
      </c>
      <c r="H15" s="11">
        <v>931200.17647058901</v>
      </c>
    </row>
    <row r="16" spans="1:8" x14ac:dyDescent="0.35">
      <c r="A16" s="13" t="s">
        <v>85</v>
      </c>
      <c r="B16" t="s">
        <v>109</v>
      </c>
      <c r="C16">
        <v>5001</v>
      </c>
      <c r="D16" t="s">
        <v>37</v>
      </c>
      <c r="E16" t="s">
        <v>28</v>
      </c>
      <c r="F16" t="s">
        <v>14</v>
      </c>
      <c r="G16" t="s">
        <v>37</v>
      </c>
      <c r="H16" s="11">
        <v>470000</v>
      </c>
    </row>
    <row r="17" spans="1:8" ht="14.5" customHeight="1" x14ac:dyDescent="0.35">
      <c r="A17" s="13" t="s">
        <v>85</v>
      </c>
      <c r="B17" t="s">
        <v>97</v>
      </c>
      <c r="C17">
        <v>5507</v>
      </c>
      <c r="D17" t="s">
        <v>42</v>
      </c>
      <c r="E17" t="s">
        <v>22</v>
      </c>
      <c r="F17" t="s">
        <v>35</v>
      </c>
      <c r="G17" t="s">
        <v>42</v>
      </c>
      <c r="H17" s="11">
        <v>200000</v>
      </c>
    </row>
    <row r="18" spans="1:8" ht="14.5" customHeight="1" x14ac:dyDescent="0.35">
      <c r="A18" s="13" t="s">
        <v>85</v>
      </c>
      <c r="B18" s="14" t="s">
        <v>36</v>
      </c>
      <c r="C18">
        <v>6001</v>
      </c>
      <c r="D18" t="s">
        <v>92</v>
      </c>
      <c r="E18" s="3" t="s">
        <v>30</v>
      </c>
      <c r="F18" t="s">
        <v>18</v>
      </c>
      <c r="G18" t="s">
        <v>92</v>
      </c>
      <c r="H18" s="11">
        <v>482200</v>
      </c>
    </row>
    <row r="19" spans="1:8" ht="14.5" customHeight="1" x14ac:dyDescent="0.35">
      <c r="A19" s="13" t="s">
        <v>85</v>
      </c>
      <c r="B19" s="14" t="s">
        <v>36</v>
      </c>
      <c r="C19">
        <v>6002</v>
      </c>
      <c r="D19" t="s">
        <v>93</v>
      </c>
      <c r="E19" s="3" t="s">
        <v>30</v>
      </c>
      <c r="F19" t="s">
        <v>18</v>
      </c>
      <c r="G19" t="s">
        <v>93</v>
      </c>
      <c r="H19" s="11">
        <v>184500</v>
      </c>
    </row>
    <row r="20" spans="1:8" ht="14.5" customHeight="1" x14ac:dyDescent="0.35">
      <c r="A20" s="13" t="s">
        <v>85</v>
      </c>
      <c r="B20" s="14" t="s">
        <v>36</v>
      </c>
      <c r="C20">
        <v>6003</v>
      </c>
      <c r="D20" t="s">
        <v>47</v>
      </c>
      <c r="E20" s="3" t="s">
        <v>30</v>
      </c>
      <c r="F20" t="s">
        <v>18</v>
      </c>
      <c r="G20" t="s">
        <v>47</v>
      </c>
      <c r="H20" s="11">
        <v>60000</v>
      </c>
    </row>
    <row r="21" spans="1:8" ht="14.5" customHeight="1" x14ac:dyDescent="0.35">
      <c r="A21" s="13" t="s">
        <v>85</v>
      </c>
      <c r="B21" s="14" t="s">
        <v>36</v>
      </c>
      <c r="C21">
        <v>6004</v>
      </c>
      <c r="D21" t="s">
        <v>48</v>
      </c>
      <c r="E21" s="3" t="s">
        <v>30</v>
      </c>
      <c r="F21" t="s">
        <v>18</v>
      </c>
      <c r="G21" t="s">
        <v>48</v>
      </c>
      <c r="H21" s="11">
        <v>40000</v>
      </c>
    </row>
    <row r="22" spans="1:8" ht="14.5" customHeight="1" x14ac:dyDescent="0.35">
      <c r="A22" s="13" t="s">
        <v>85</v>
      </c>
      <c r="B22" s="14" t="s">
        <v>36</v>
      </c>
      <c r="C22">
        <v>6005</v>
      </c>
      <c r="D22" t="s">
        <v>49</v>
      </c>
      <c r="E22" s="3" t="s">
        <v>30</v>
      </c>
      <c r="F22" t="s">
        <v>18</v>
      </c>
      <c r="G22" t="s">
        <v>49</v>
      </c>
      <c r="H22" s="11">
        <v>151000</v>
      </c>
    </row>
    <row r="23" spans="1:8" x14ac:dyDescent="0.35">
      <c r="A23" s="13" t="s">
        <v>85</v>
      </c>
      <c r="B23" s="14" t="s">
        <v>36</v>
      </c>
      <c r="C23">
        <v>6007</v>
      </c>
      <c r="D23" t="s">
        <v>51</v>
      </c>
      <c r="E23" s="3" t="s">
        <v>30</v>
      </c>
      <c r="F23" t="s">
        <v>18</v>
      </c>
      <c r="G23" t="s">
        <v>51</v>
      </c>
      <c r="H23" s="11">
        <v>25000</v>
      </c>
    </row>
    <row r="24" spans="1:8" ht="14.5" customHeight="1" x14ac:dyDescent="0.35">
      <c r="A24" s="13" t="s">
        <v>85</v>
      </c>
      <c r="B24" s="14" t="s">
        <v>36</v>
      </c>
      <c r="C24">
        <v>6008</v>
      </c>
      <c r="D24" t="s">
        <v>52</v>
      </c>
      <c r="E24" s="3" t="s">
        <v>30</v>
      </c>
      <c r="F24" t="s">
        <v>18</v>
      </c>
      <c r="G24" t="s">
        <v>52</v>
      </c>
      <c r="H24" s="11">
        <v>210600</v>
      </c>
    </row>
    <row r="25" spans="1:8" ht="14.5" customHeight="1" x14ac:dyDescent="0.35">
      <c r="A25" s="13" t="s">
        <v>85</v>
      </c>
      <c r="B25" s="14" t="s">
        <v>36</v>
      </c>
      <c r="C25">
        <v>6010</v>
      </c>
      <c r="D25" t="s">
        <v>53</v>
      </c>
      <c r="E25" s="3" t="s">
        <v>30</v>
      </c>
      <c r="F25" t="s">
        <v>18</v>
      </c>
      <c r="G25" t="s">
        <v>53</v>
      </c>
      <c r="H25" s="11">
        <v>19800</v>
      </c>
    </row>
    <row r="26" spans="1:8" ht="14.5" customHeight="1" x14ac:dyDescent="0.35">
      <c r="A26" s="13" t="s">
        <v>85</v>
      </c>
      <c r="B26" s="14" t="s">
        <v>36</v>
      </c>
      <c r="C26">
        <v>6011</v>
      </c>
      <c r="D26" t="s">
        <v>95</v>
      </c>
      <c r="E26" s="3" t="s">
        <v>30</v>
      </c>
      <c r="F26" t="s">
        <v>18</v>
      </c>
      <c r="G26" t="s">
        <v>95</v>
      </c>
      <c r="H26" s="11">
        <v>30000</v>
      </c>
    </row>
    <row r="27" spans="1:8" x14ac:dyDescent="0.35">
      <c r="A27" s="13" t="s">
        <v>85</v>
      </c>
      <c r="B27" s="14" t="s">
        <v>36</v>
      </c>
      <c r="C27">
        <v>6013</v>
      </c>
      <c r="D27" t="s">
        <v>56</v>
      </c>
      <c r="E27" s="3" t="s">
        <v>30</v>
      </c>
      <c r="F27" t="s">
        <v>18</v>
      </c>
      <c r="G27" t="s">
        <v>56</v>
      </c>
      <c r="H27" s="11">
        <v>120270</v>
      </c>
    </row>
    <row r="28" spans="1:8" ht="14.5" customHeight="1" x14ac:dyDescent="0.35">
      <c r="A28" s="13" t="s">
        <v>85</v>
      </c>
      <c r="B28" s="14" t="s">
        <v>36</v>
      </c>
      <c r="C28">
        <v>6015</v>
      </c>
      <c r="D28" t="s">
        <v>58</v>
      </c>
      <c r="E28" s="3" t="s">
        <v>30</v>
      </c>
      <c r="F28" t="s">
        <v>18</v>
      </c>
      <c r="G28" t="s">
        <v>58</v>
      </c>
      <c r="H28" s="11">
        <v>450000</v>
      </c>
    </row>
    <row r="29" spans="1:8" ht="14.5" customHeight="1" x14ac:dyDescent="0.35">
      <c r="A29" s="13" t="s">
        <v>85</v>
      </c>
      <c r="B29" s="14" t="s">
        <v>36</v>
      </c>
      <c r="C29">
        <v>6041</v>
      </c>
      <c r="D29" t="s">
        <v>59</v>
      </c>
      <c r="E29" s="3" t="s">
        <v>30</v>
      </c>
      <c r="F29" t="s">
        <v>18</v>
      </c>
      <c r="G29" t="s">
        <v>59</v>
      </c>
      <c r="H29" s="11">
        <v>204999</v>
      </c>
    </row>
    <row r="30" spans="1:8" ht="14.5" customHeight="1" x14ac:dyDescent="0.35">
      <c r="A30" s="13" t="s">
        <v>85</v>
      </c>
      <c r="B30" s="14" t="s">
        <v>36</v>
      </c>
      <c r="C30">
        <v>6043</v>
      </c>
      <c r="D30" t="s">
        <v>61</v>
      </c>
      <c r="E30" s="3" t="s">
        <v>30</v>
      </c>
      <c r="F30" t="s">
        <v>18</v>
      </c>
      <c r="G30" t="s">
        <v>61</v>
      </c>
      <c r="H30" s="11">
        <v>1200000</v>
      </c>
    </row>
    <row r="31" spans="1:8" ht="14.5" customHeight="1" x14ac:dyDescent="0.35">
      <c r="A31" s="13" t="s">
        <v>85</v>
      </c>
      <c r="B31" s="14" t="s">
        <v>36</v>
      </c>
      <c r="C31">
        <v>6045</v>
      </c>
      <c r="D31" t="s">
        <v>8</v>
      </c>
      <c r="E31" s="3" t="s">
        <v>30</v>
      </c>
      <c r="F31" t="s">
        <v>18</v>
      </c>
      <c r="G31" t="s">
        <v>8</v>
      </c>
      <c r="H31" s="11">
        <v>27009.95</v>
      </c>
    </row>
    <row r="32" spans="1:8" ht="14.5" customHeight="1" x14ac:dyDescent="0.35">
      <c r="A32" s="13" t="s">
        <v>85</v>
      </c>
      <c r="B32" s="14" t="s">
        <v>36</v>
      </c>
      <c r="C32">
        <v>6047</v>
      </c>
      <c r="D32" t="s">
        <v>64</v>
      </c>
      <c r="E32" s="3" t="s">
        <v>30</v>
      </c>
      <c r="F32" t="s">
        <v>18</v>
      </c>
      <c r="G32" t="s">
        <v>64</v>
      </c>
      <c r="H32" s="11">
        <v>400000</v>
      </c>
    </row>
    <row r="33" spans="1:12" ht="14.5" customHeight="1" x14ac:dyDescent="0.35">
      <c r="A33" s="13" t="s">
        <v>85</v>
      </c>
      <c r="B33" s="14" t="s">
        <v>36</v>
      </c>
      <c r="C33">
        <v>6048</v>
      </c>
      <c r="D33" t="s">
        <v>9</v>
      </c>
      <c r="E33" s="3" t="s">
        <v>30</v>
      </c>
      <c r="F33" t="s">
        <v>18</v>
      </c>
      <c r="G33" t="s">
        <v>9</v>
      </c>
      <c r="H33" s="11">
        <v>5421000</v>
      </c>
    </row>
    <row r="34" spans="1:12" ht="14.5" customHeight="1" x14ac:dyDescent="0.35">
      <c r="A34" s="13" t="s">
        <v>85</v>
      </c>
      <c r="B34" s="14" t="s">
        <v>36</v>
      </c>
      <c r="C34">
        <v>6049</v>
      </c>
      <c r="D34" t="s">
        <v>65</v>
      </c>
      <c r="E34" s="3" t="s">
        <v>30</v>
      </c>
      <c r="F34" t="s">
        <v>18</v>
      </c>
      <c r="G34" t="s">
        <v>65</v>
      </c>
      <c r="H34" s="11">
        <v>5000</v>
      </c>
    </row>
    <row r="35" spans="1:12" ht="14.5" customHeight="1" x14ac:dyDescent="0.35">
      <c r="A35" s="13" t="s">
        <v>85</v>
      </c>
      <c r="B35" s="14" t="s">
        <v>36</v>
      </c>
      <c r="C35">
        <v>6052</v>
      </c>
      <c r="D35" t="s">
        <v>96</v>
      </c>
      <c r="E35" s="3" t="s">
        <v>30</v>
      </c>
      <c r="F35" t="s">
        <v>18</v>
      </c>
      <c r="G35" t="s">
        <v>96</v>
      </c>
      <c r="H35" s="11">
        <v>1000</v>
      </c>
    </row>
    <row r="36" spans="1:12" ht="14.5" customHeight="1" x14ac:dyDescent="0.35">
      <c r="A36" s="13" t="s">
        <v>85</v>
      </c>
      <c r="B36" s="14" t="s">
        <v>36</v>
      </c>
      <c r="C36">
        <v>50011</v>
      </c>
      <c r="D36" t="s">
        <v>68</v>
      </c>
      <c r="E36" s="3" t="s">
        <v>30</v>
      </c>
      <c r="F36" t="s">
        <v>18</v>
      </c>
      <c r="G36" t="s">
        <v>68</v>
      </c>
      <c r="H36" s="11">
        <v>1521352.9411764699</v>
      </c>
    </row>
    <row r="37" spans="1:12" x14ac:dyDescent="0.35">
      <c r="A37" s="13" t="s">
        <v>86</v>
      </c>
      <c r="B37" t="s">
        <v>109</v>
      </c>
      <c r="C37">
        <v>5001</v>
      </c>
      <c r="D37" t="s">
        <v>37</v>
      </c>
      <c r="E37" s="15" t="s">
        <v>106</v>
      </c>
      <c r="F37" s="15" t="s">
        <v>107</v>
      </c>
      <c r="G37" t="s">
        <v>37</v>
      </c>
      <c r="H37" s="11">
        <v>160000</v>
      </c>
    </row>
    <row r="38" spans="1:12" ht="14.5" customHeight="1" x14ac:dyDescent="0.35">
      <c r="A38" s="13" t="s">
        <v>86</v>
      </c>
      <c r="B38" t="s">
        <v>98</v>
      </c>
      <c r="C38">
        <v>5502</v>
      </c>
      <c r="D38" t="s">
        <v>40</v>
      </c>
      <c r="E38" t="s">
        <v>104</v>
      </c>
      <c r="F38" t="s">
        <v>102</v>
      </c>
      <c r="G38" t="s">
        <v>40</v>
      </c>
      <c r="H38" s="11">
        <v>309000</v>
      </c>
    </row>
    <row r="39" spans="1:12" ht="14.5" customHeight="1" x14ac:dyDescent="0.35">
      <c r="A39" s="13" t="s">
        <v>86</v>
      </c>
      <c r="B39" t="s">
        <v>98</v>
      </c>
      <c r="C39">
        <v>5508</v>
      </c>
      <c r="D39" t="s">
        <v>43</v>
      </c>
      <c r="E39" t="s">
        <v>104</v>
      </c>
      <c r="F39" t="s">
        <v>102</v>
      </c>
      <c r="G39" t="s">
        <v>43</v>
      </c>
      <c r="H39" s="11">
        <v>80000</v>
      </c>
    </row>
    <row r="40" spans="1:12" ht="14.5" customHeight="1" x14ac:dyDescent="0.35">
      <c r="A40" s="13" t="s">
        <v>86</v>
      </c>
      <c r="B40" t="s">
        <v>98</v>
      </c>
      <c r="C40">
        <v>5509</v>
      </c>
      <c r="D40" t="s">
        <v>44</v>
      </c>
      <c r="E40" t="s">
        <v>104</v>
      </c>
      <c r="F40" t="s">
        <v>102</v>
      </c>
      <c r="G40" t="s">
        <v>44</v>
      </c>
      <c r="H40" s="17">
        <v>2065000</v>
      </c>
    </row>
    <row r="41" spans="1:12" ht="14.5" customHeight="1" x14ac:dyDescent="0.35">
      <c r="A41" s="13" t="s">
        <v>86</v>
      </c>
      <c r="B41" t="s">
        <v>98</v>
      </c>
      <c r="C41">
        <v>5511</v>
      </c>
      <c r="D41" t="s">
        <v>90</v>
      </c>
      <c r="E41" t="s">
        <v>104</v>
      </c>
      <c r="F41" t="s">
        <v>102</v>
      </c>
      <c r="G41" t="s">
        <v>90</v>
      </c>
      <c r="H41" s="11">
        <v>2715000</v>
      </c>
    </row>
    <row r="42" spans="1:12" ht="14.5" customHeight="1" x14ac:dyDescent="0.35">
      <c r="A42" s="13" t="s">
        <v>86</v>
      </c>
      <c r="B42" t="s">
        <v>98</v>
      </c>
      <c r="C42">
        <v>5512</v>
      </c>
      <c r="D42" t="s">
        <v>91</v>
      </c>
      <c r="E42" t="s">
        <v>104</v>
      </c>
      <c r="F42" t="s">
        <v>102</v>
      </c>
      <c r="G42" t="s">
        <v>91</v>
      </c>
      <c r="H42" s="11">
        <v>2691750</v>
      </c>
    </row>
    <row r="43" spans="1:12" ht="14.5" customHeight="1" x14ac:dyDescent="0.35">
      <c r="A43" s="13" t="s">
        <v>86</v>
      </c>
      <c r="B43" s="14" t="s">
        <v>36</v>
      </c>
      <c r="C43">
        <v>6001</v>
      </c>
      <c r="D43" t="s">
        <v>92</v>
      </c>
      <c r="E43" s="3" t="s">
        <v>30</v>
      </c>
      <c r="F43" t="s">
        <v>18</v>
      </c>
      <c r="G43" t="s">
        <v>92</v>
      </c>
      <c r="H43" s="11">
        <v>387180</v>
      </c>
    </row>
    <row r="44" spans="1:12" ht="14.5" customHeight="1" x14ac:dyDescent="0.35">
      <c r="A44" s="13" t="s">
        <v>86</v>
      </c>
      <c r="B44" s="14" t="s">
        <v>36</v>
      </c>
      <c r="C44">
        <v>6002</v>
      </c>
      <c r="D44" t="s">
        <v>93</v>
      </c>
      <c r="E44" s="3" t="s">
        <v>30</v>
      </c>
      <c r="F44" t="s">
        <v>18</v>
      </c>
      <c r="G44" t="s">
        <v>93</v>
      </c>
      <c r="H44" s="11">
        <v>100000</v>
      </c>
    </row>
    <row r="45" spans="1:12" ht="14.5" customHeight="1" x14ac:dyDescent="0.35">
      <c r="A45" s="13" t="s">
        <v>86</v>
      </c>
      <c r="B45" s="14" t="s">
        <v>36</v>
      </c>
      <c r="C45">
        <v>6004</v>
      </c>
      <c r="D45" t="s">
        <v>48</v>
      </c>
      <c r="E45" s="3" t="s">
        <v>30</v>
      </c>
      <c r="F45" t="s">
        <v>18</v>
      </c>
      <c r="G45" t="s">
        <v>48</v>
      </c>
      <c r="H45" s="11">
        <v>40000</v>
      </c>
    </row>
    <row r="46" spans="1:12" x14ac:dyDescent="0.35">
      <c r="A46" s="13" t="s">
        <v>86</v>
      </c>
      <c r="B46" s="14" t="s">
        <v>36</v>
      </c>
      <c r="C46">
        <v>6007</v>
      </c>
      <c r="D46" t="s">
        <v>51</v>
      </c>
      <c r="E46" s="3" t="s">
        <v>30</v>
      </c>
      <c r="F46" t="s">
        <v>18</v>
      </c>
      <c r="G46" t="s">
        <v>51</v>
      </c>
      <c r="H46" s="11">
        <v>1500</v>
      </c>
    </row>
    <row r="47" spans="1:12" ht="14.5" customHeight="1" x14ac:dyDescent="0.35">
      <c r="A47" s="13" t="s">
        <v>86</v>
      </c>
      <c r="B47" s="14" t="s">
        <v>36</v>
      </c>
      <c r="C47">
        <v>6008</v>
      </c>
      <c r="D47" t="s">
        <v>52</v>
      </c>
      <c r="E47" s="3" t="s">
        <v>30</v>
      </c>
      <c r="F47" t="s">
        <v>18</v>
      </c>
      <c r="G47" t="s">
        <v>52</v>
      </c>
      <c r="H47" s="11">
        <v>17000</v>
      </c>
    </row>
    <row r="48" spans="1:12" ht="14.5" customHeight="1" x14ac:dyDescent="0.35">
      <c r="A48" s="13" t="s">
        <v>86</v>
      </c>
      <c r="B48" s="14" t="s">
        <v>36</v>
      </c>
      <c r="C48">
        <v>6011</v>
      </c>
      <c r="D48" t="s">
        <v>95</v>
      </c>
      <c r="E48" s="3" t="s">
        <v>30</v>
      </c>
      <c r="F48" t="s">
        <v>18</v>
      </c>
      <c r="G48" t="s">
        <v>95</v>
      </c>
      <c r="H48" s="11">
        <v>3713011</v>
      </c>
      <c r="L48" s="19"/>
    </row>
    <row r="49" spans="1:9" x14ac:dyDescent="0.35">
      <c r="A49" s="13" t="s">
        <v>86</v>
      </c>
      <c r="B49" s="14" t="s">
        <v>36</v>
      </c>
      <c r="C49">
        <v>6013</v>
      </c>
      <c r="D49" t="s">
        <v>56</v>
      </c>
      <c r="E49" s="3" t="s">
        <v>30</v>
      </c>
      <c r="F49" t="s">
        <v>18</v>
      </c>
      <c r="G49" t="s">
        <v>56</v>
      </c>
      <c r="H49" s="11">
        <v>30000</v>
      </c>
    </row>
    <row r="50" spans="1:9" ht="14.5" customHeight="1" x14ac:dyDescent="0.35">
      <c r="A50" s="13" t="s">
        <v>86</v>
      </c>
      <c r="B50" s="20" t="s">
        <v>108</v>
      </c>
      <c r="C50">
        <v>6014</v>
      </c>
      <c r="D50" t="s">
        <v>57</v>
      </c>
      <c r="E50" s="3" t="s">
        <v>28</v>
      </c>
      <c r="F50" t="s">
        <v>14</v>
      </c>
      <c r="G50" t="s">
        <v>57</v>
      </c>
      <c r="H50" s="11">
        <v>750000</v>
      </c>
    </row>
    <row r="51" spans="1:9" ht="14.5" customHeight="1" x14ac:dyDescent="0.35">
      <c r="A51" s="13" t="s">
        <v>86</v>
      </c>
      <c r="B51" s="14" t="s">
        <v>36</v>
      </c>
      <c r="C51">
        <v>6015</v>
      </c>
      <c r="D51" t="s">
        <v>58</v>
      </c>
      <c r="E51" s="3" t="s">
        <v>106</v>
      </c>
      <c r="F51" t="s">
        <v>110</v>
      </c>
      <c r="G51" t="s">
        <v>58</v>
      </c>
      <c r="H51" s="11">
        <v>1249178</v>
      </c>
    </row>
    <row r="52" spans="1:9" ht="14.5" customHeight="1" x14ac:dyDescent="0.35">
      <c r="A52" s="13" t="s">
        <v>86</v>
      </c>
      <c r="B52" s="14" t="s">
        <v>36</v>
      </c>
      <c r="C52">
        <v>6041</v>
      </c>
      <c r="D52" t="s">
        <v>59</v>
      </c>
      <c r="E52" s="3" t="s">
        <v>30</v>
      </c>
      <c r="F52" t="s">
        <v>18</v>
      </c>
      <c r="G52" t="s">
        <v>59</v>
      </c>
      <c r="H52" s="11">
        <v>41044</v>
      </c>
    </row>
    <row r="53" spans="1:9" x14ac:dyDescent="0.35">
      <c r="A53" s="13" t="s">
        <v>86</v>
      </c>
      <c r="B53" s="14" t="s">
        <v>36</v>
      </c>
      <c r="C53">
        <v>6042</v>
      </c>
      <c r="D53" t="s">
        <v>60</v>
      </c>
      <c r="E53" s="3" t="s">
        <v>30</v>
      </c>
      <c r="F53" t="s">
        <v>18</v>
      </c>
      <c r="G53" t="s">
        <v>60</v>
      </c>
      <c r="H53" s="11">
        <v>3000</v>
      </c>
    </row>
    <row r="54" spans="1:9" ht="14.5" customHeight="1" x14ac:dyDescent="0.35">
      <c r="A54" s="13" t="s">
        <v>86</v>
      </c>
      <c r="B54" s="14" t="s">
        <v>36</v>
      </c>
      <c r="C54">
        <v>6043</v>
      </c>
      <c r="D54" t="s">
        <v>61</v>
      </c>
      <c r="E54" s="3" t="s">
        <v>30</v>
      </c>
      <c r="F54" t="s">
        <v>18</v>
      </c>
      <c r="G54" t="s">
        <v>61</v>
      </c>
      <c r="H54" s="11">
        <v>1200000</v>
      </c>
    </row>
    <row r="55" spans="1:9" ht="14.5" customHeight="1" x14ac:dyDescent="0.35">
      <c r="A55" s="13" t="s">
        <v>86</v>
      </c>
      <c r="B55" s="14" t="s">
        <v>36</v>
      </c>
      <c r="C55">
        <v>6045</v>
      </c>
      <c r="D55" t="s">
        <v>8</v>
      </c>
      <c r="E55" s="3" t="s">
        <v>30</v>
      </c>
      <c r="F55" t="s">
        <v>18</v>
      </c>
      <c r="G55" t="s">
        <v>8</v>
      </c>
      <c r="H55" s="11">
        <v>9309</v>
      </c>
    </row>
    <row r="56" spans="1:9" ht="14.5" customHeight="1" x14ac:dyDescent="0.35">
      <c r="A56" s="13" t="s">
        <v>86</v>
      </c>
      <c r="B56" s="14" t="s">
        <v>36</v>
      </c>
      <c r="C56">
        <v>6047</v>
      </c>
      <c r="D56" t="s">
        <v>64</v>
      </c>
      <c r="E56" s="3" t="s">
        <v>30</v>
      </c>
      <c r="F56" t="s">
        <v>18</v>
      </c>
      <c r="G56" t="s">
        <v>64</v>
      </c>
      <c r="H56" s="11">
        <v>740000</v>
      </c>
    </row>
    <row r="57" spans="1:9" ht="14.5" customHeight="1" x14ac:dyDescent="0.35">
      <c r="A57" s="13" t="s">
        <v>86</v>
      </c>
      <c r="B57" s="14" t="s">
        <v>36</v>
      </c>
      <c r="C57">
        <v>6048</v>
      </c>
      <c r="D57" t="s">
        <v>9</v>
      </c>
      <c r="E57" s="3" t="s">
        <v>30</v>
      </c>
      <c r="F57" t="s">
        <v>18</v>
      </c>
      <c r="G57" t="s">
        <v>9</v>
      </c>
      <c r="H57" s="11">
        <v>525000</v>
      </c>
    </row>
    <row r="58" spans="1:9" ht="14.5" customHeight="1" x14ac:dyDescent="0.35">
      <c r="A58" s="13" t="s">
        <v>86</v>
      </c>
      <c r="B58" s="14" t="s">
        <v>36</v>
      </c>
      <c r="C58">
        <v>6049</v>
      </c>
      <c r="D58" t="s">
        <v>65</v>
      </c>
      <c r="E58" s="3" t="s">
        <v>30</v>
      </c>
      <c r="F58" t="s">
        <v>18</v>
      </c>
      <c r="G58" t="s">
        <v>65</v>
      </c>
      <c r="H58" s="11">
        <v>450000</v>
      </c>
    </row>
    <row r="59" spans="1:9" ht="14.5" customHeight="1" x14ac:dyDescent="0.35">
      <c r="A59" s="13" t="s">
        <v>86</v>
      </c>
      <c r="B59" s="14" t="s">
        <v>36</v>
      </c>
      <c r="C59">
        <v>6051</v>
      </c>
      <c r="D59" t="s">
        <v>67</v>
      </c>
      <c r="E59" s="3" t="s">
        <v>30</v>
      </c>
      <c r="F59" t="s">
        <v>18</v>
      </c>
      <c r="G59" t="s">
        <v>67</v>
      </c>
      <c r="H59" s="11">
        <v>11810</v>
      </c>
    </row>
    <row r="60" spans="1:9" ht="14.5" customHeight="1" x14ac:dyDescent="0.35">
      <c r="A60" s="13" t="s">
        <v>86</v>
      </c>
      <c r="B60" s="14" t="s">
        <v>36</v>
      </c>
      <c r="C60">
        <v>6052</v>
      </c>
      <c r="D60" t="s">
        <v>96</v>
      </c>
      <c r="E60" s="3" t="s">
        <v>30</v>
      </c>
      <c r="F60" t="s">
        <v>18</v>
      </c>
      <c r="G60" t="s">
        <v>96</v>
      </c>
      <c r="H60" s="11">
        <v>1185901</v>
      </c>
    </row>
    <row r="61" spans="1:9" ht="14.5" customHeight="1" x14ac:dyDescent="0.35">
      <c r="A61" s="13" t="s">
        <v>86</v>
      </c>
      <c r="B61" s="14" t="s">
        <v>36</v>
      </c>
      <c r="C61">
        <v>50011</v>
      </c>
      <c r="D61" t="s">
        <v>68</v>
      </c>
      <c r="E61" s="3" t="s">
        <v>30</v>
      </c>
      <c r="F61" t="s">
        <v>18</v>
      </c>
      <c r="G61" t="s">
        <v>68</v>
      </c>
      <c r="H61" s="11">
        <v>2046924.88235294</v>
      </c>
    </row>
    <row r="62" spans="1:9" x14ac:dyDescent="0.35">
      <c r="A62" s="13" t="s">
        <v>87</v>
      </c>
      <c r="B62" t="s">
        <v>109</v>
      </c>
      <c r="C62">
        <v>5001</v>
      </c>
      <c r="D62" t="s">
        <v>37</v>
      </c>
      <c r="E62" s="15" t="s">
        <v>106</v>
      </c>
      <c r="F62" s="15" t="s">
        <v>107</v>
      </c>
      <c r="G62" t="s">
        <v>37</v>
      </c>
      <c r="H62" s="11">
        <v>370000</v>
      </c>
    </row>
    <row r="63" spans="1:9" ht="14.5" customHeight="1" x14ac:dyDescent="0.35">
      <c r="A63" s="13" t="s">
        <v>87</v>
      </c>
      <c r="B63" t="s">
        <v>97</v>
      </c>
      <c r="C63">
        <v>5507</v>
      </c>
      <c r="D63" t="s">
        <v>42</v>
      </c>
      <c r="E63" t="s">
        <v>104</v>
      </c>
      <c r="F63" t="s">
        <v>102</v>
      </c>
      <c r="G63" t="s">
        <v>42</v>
      </c>
      <c r="H63" s="11">
        <v>360000</v>
      </c>
      <c r="I63" s="15"/>
    </row>
    <row r="64" spans="1:9" ht="14.5" customHeight="1" x14ac:dyDescent="0.35">
      <c r="A64" s="13" t="s">
        <v>87</v>
      </c>
      <c r="B64" t="s">
        <v>98</v>
      </c>
      <c r="C64">
        <v>5500</v>
      </c>
      <c r="D64" t="s">
        <v>38</v>
      </c>
      <c r="E64" t="s">
        <v>34</v>
      </c>
      <c r="F64" t="s">
        <v>23</v>
      </c>
      <c r="G64" t="s">
        <v>38</v>
      </c>
      <c r="H64" s="18">
        <v>8130000</v>
      </c>
      <c r="I64" s="15"/>
    </row>
    <row r="65" spans="1:8" ht="14.5" customHeight="1" x14ac:dyDescent="0.35">
      <c r="A65" s="13" t="s">
        <v>87</v>
      </c>
      <c r="B65" t="s">
        <v>1</v>
      </c>
      <c r="C65">
        <v>5501</v>
      </c>
      <c r="D65" t="s">
        <v>39</v>
      </c>
      <c r="E65" t="s">
        <v>34</v>
      </c>
      <c r="F65" t="s">
        <v>23</v>
      </c>
      <c r="G65" t="s">
        <v>39</v>
      </c>
      <c r="H65" s="18">
        <v>6432200</v>
      </c>
    </row>
    <row r="66" spans="1:8" ht="14.5" customHeight="1" x14ac:dyDescent="0.35">
      <c r="A66" s="13" t="s">
        <v>87</v>
      </c>
      <c r="B66" t="s">
        <v>98</v>
      </c>
      <c r="C66">
        <v>5500</v>
      </c>
      <c r="D66" t="s">
        <v>38</v>
      </c>
      <c r="E66" t="s">
        <v>24</v>
      </c>
      <c r="F66" t="s">
        <v>25</v>
      </c>
      <c r="G66" t="s">
        <v>38</v>
      </c>
      <c r="H66">
        <v>2386500</v>
      </c>
    </row>
    <row r="67" spans="1:8" ht="14.5" customHeight="1" x14ac:dyDescent="0.35">
      <c r="A67" s="13" t="s">
        <v>87</v>
      </c>
      <c r="B67" t="s">
        <v>98</v>
      </c>
      <c r="C67">
        <v>5502</v>
      </c>
      <c r="D67" t="s">
        <v>40</v>
      </c>
      <c r="E67" t="s">
        <v>24</v>
      </c>
      <c r="F67" t="s">
        <v>25</v>
      </c>
      <c r="G67" t="s">
        <v>40</v>
      </c>
      <c r="H67">
        <v>44000</v>
      </c>
    </row>
    <row r="68" spans="1:8" ht="14.5" customHeight="1" x14ac:dyDescent="0.35">
      <c r="A68" s="13" t="s">
        <v>87</v>
      </c>
      <c r="B68" t="s">
        <v>97</v>
      </c>
      <c r="C68">
        <v>5507</v>
      </c>
      <c r="D68" t="s">
        <v>42</v>
      </c>
      <c r="E68" t="s">
        <v>24</v>
      </c>
      <c r="F68" t="s">
        <v>25</v>
      </c>
      <c r="G68" t="s">
        <v>42</v>
      </c>
      <c r="H68">
        <v>1150000</v>
      </c>
    </row>
    <row r="69" spans="1:8" ht="14.5" customHeight="1" x14ac:dyDescent="0.35">
      <c r="A69" s="13" t="s">
        <v>87</v>
      </c>
      <c r="B69" s="14" t="s">
        <v>36</v>
      </c>
      <c r="C69">
        <v>6001</v>
      </c>
      <c r="D69" t="s">
        <v>92</v>
      </c>
      <c r="E69" s="3" t="s">
        <v>30</v>
      </c>
      <c r="F69" t="s">
        <v>18</v>
      </c>
      <c r="G69" t="s">
        <v>92</v>
      </c>
      <c r="H69" s="11">
        <v>455800</v>
      </c>
    </row>
    <row r="70" spans="1:8" ht="14.5" customHeight="1" x14ac:dyDescent="0.35">
      <c r="A70" s="13" t="s">
        <v>87</v>
      </c>
      <c r="B70" s="14" t="s">
        <v>36</v>
      </c>
      <c r="C70">
        <v>6002</v>
      </c>
      <c r="D70" t="s">
        <v>93</v>
      </c>
      <c r="E70" s="3" t="s">
        <v>30</v>
      </c>
      <c r="F70" t="s">
        <v>18</v>
      </c>
      <c r="G70" t="s">
        <v>93</v>
      </c>
      <c r="H70" s="11">
        <v>70000</v>
      </c>
    </row>
    <row r="71" spans="1:8" ht="14.5" customHeight="1" x14ac:dyDescent="0.35">
      <c r="A71" s="13" t="s">
        <v>87</v>
      </c>
      <c r="B71" s="14" t="s">
        <v>36</v>
      </c>
      <c r="C71">
        <v>6004</v>
      </c>
      <c r="D71" t="s">
        <v>48</v>
      </c>
      <c r="E71" s="3" t="s">
        <v>30</v>
      </c>
      <c r="F71" t="s">
        <v>18</v>
      </c>
      <c r="G71" t="s">
        <v>48</v>
      </c>
      <c r="H71" s="11">
        <v>60000</v>
      </c>
    </row>
    <row r="72" spans="1:8" ht="14.5" customHeight="1" x14ac:dyDescent="0.35">
      <c r="A72" s="13" t="s">
        <v>87</v>
      </c>
      <c r="B72" s="14" t="s">
        <v>36</v>
      </c>
      <c r="C72">
        <v>6008</v>
      </c>
      <c r="D72" t="s">
        <v>52</v>
      </c>
      <c r="E72" s="3" t="s">
        <v>30</v>
      </c>
      <c r="F72" t="s">
        <v>18</v>
      </c>
      <c r="G72" t="s">
        <v>52</v>
      </c>
      <c r="H72" s="11">
        <v>10600</v>
      </c>
    </row>
    <row r="73" spans="1:8" x14ac:dyDescent="0.35">
      <c r="A73" s="13" t="s">
        <v>87</v>
      </c>
      <c r="B73" s="14" t="s">
        <v>36</v>
      </c>
      <c r="C73">
        <v>6009</v>
      </c>
      <c r="D73" t="s">
        <v>94</v>
      </c>
      <c r="E73" s="3" t="s">
        <v>30</v>
      </c>
      <c r="F73" t="s">
        <v>18</v>
      </c>
      <c r="G73" t="s">
        <v>94</v>
      </c>
      <c r="H73" s="11">
        <v>16900</v>
      </c>
    </row>
    <row r="74" spans="1:8" ht="14.5" customHeight="1" x14ac:dyDescent="0.35">
      <c r="A74" s="13" t="s">
        <v>87</v>
      </c>
      <c r="B74" s="14" t="s">
        <v>36</v>
      </c>
      <c r="C74">
        <v>6011</v>
      </c>
      <c r="D74" t="s">
        <v>95</v>
      </c>
      <c r="E74" s="3" t="s">
        <v>30</v>
      </c>
      <c r="F74" t="s">
        <v>18</v>
      </c>
      <c r="G74" t="s">
        <v>95</v>
      </c>
      <c r="H74" s="11">
        <v>60000</v>
      </c>
    </row>
    <row r="75" spans="1:8" x14ac:dyDescent="0.35">
      <c r="A75" s="13" t="s">
        <v>87</v>
      </c>
      <c r="B75" s="14" t="s">
        <v>36</v>
      </c>
      <c r="C75">
        <v>6013</v>
      </c>
      <c r="D75" t="s">
        <v>56</v>
      </c>
      <c r="E75" s="3" t="s">
        <v>30</v>
      </c>
      <c r="F75" t="s">
        <v>18</v>
      </c>
      <c r="G75" t="s">
        <v>56</v>
      </c>
      <c r="H75" s="11">
        <v>30000</v>
      </c>
    </row>
    <row r="76" spans="1:8" ht="14.5" customHeight="1" x14ac:dyDescent="0.35">
      <c r="A76" s="13" t="s">
        <v>87</v>
      </c>
      <c r="B76" s="14" t="s">
        <v>36</v>
      </c>
      <c r="C76">
        <v>6015</v>
      </c>
      <c r="D76" t="s">
        <v>58</v>
      </c>
      <c r="E76" s="3" t="s">
        <v>30</v>
      </c>
      <c r="F76" t="s">
        <v>18</v>
      </c>
      <c r="G76" t="s">
        <v>58</v>
      </c>
      <c r="H76" s="11">
        <v>14000</v>
      </c>
    </row>
    <row r="77" spans="1:8" ht="14.5" customHeight="1" x14ac:dyDescent="0.35">
      <c r="A77" s="13" t="s">
        <v>87</v>
      </c>
      <c r="B77" s="14" t="s">
        <v>36</v>
      </c>
      <c r="C77">
        <v>6041</v>
      </c>
      <c r="D77" t="s">
        <v>59</v>
      </c>
      <c r="E77" s="3" t="s">
        <v>30</v>
      </c>
      <c r="F77" t="s">
        <v>18</v>
      </c>
      <c r="G77" t="s">
        <v>59</v>
      </c>
      <c r="H77" s="11">
        <v>1214645</v>
      </c>
    </row>
    <row r="78" spans="1:8" ht="14.5" customHeight="1" x14ac:dyDescent="0.35">
      <c r="A78" s="13" t="s">
        <v>87</v>
      </c>
      <c r="B78" s="14" t="s">
        <v>36</v>
      </c>
      <c r="C78">
        <v>6043</v>
      </c>
      <c r="D78" t="s">
        <v>61</v>
      </c>
      <c r="E78" s="3" t="s">
        <v>30</v>
      </c>
      <c r="F78" t="s">
        <v>18</v>
      </c>
      <c r="G78" t="s">
        <v>61</v>
      </c>
      <c r="H78" s="11">
        <v>600000</v>
      </c>
    </row>
    <row r="79" spans="1:8" ht="14.5" customHeight="1" x14ac:dyDescent="0.35">
      <c r="A79" s="13" t="s">
        <v>87</v>
      </c>
      <c r="B79" s="14" t="s">
        <v>36</v>
      </c>
      <c r="C79">
        <v>6045</v>
      </c>
      <c r="D79" t="s">
        <v>8</v>
      </c>
      <c r="E79" s="3" t="s">
        <v>30</v>
      </c>
      <c r="F79" t="s">
        <v>18</v>
      </c>
      <c r="G79" t="s">
        <v>8</v>
      </c>
      <c r="H79" s="11">
        <v>10828</v>
      </c>
    </row>
    <row r="80" spans="1:8" ht="14.5" customHeight="1" x14ac:dyDescent="0.35">
      <c r="A80" s="13" t="s">
        <v>87</v>
      </c>
      <c r="B80" s="14" t="s">
        <v>36</v>
      </c>
      <c r="C80">
        <v>6048</v>
      </c>
      <c r="D80" t="s">
        <v>9</v>
      </c>
      <c r="E80" s="3" t="s">
        <v>30</v>
      </c>
      <c r="F80" t="s">
        <v>18</v>
      </c>
      <c r="G80" t="s">
        <v>9</v>
      </c>
      <c r="H80" s="11">
        <v>870715</v>
      </c>
    </row>
    <row r="81" spans="1:8" ht="14.5" customHeight="1" x14ac:dyDescent="0.35">
      <c r="A81" s="13" t="s">
        <v>87</v>
      </c>
      <c r="B81" s="14" t="s">
        <v>36</v>
      </c>
      <c r="C81">
        <v>6052</v>
      </c>
      <c r="D81" t="s">
        <v>96</v>
      </c>
      <c r="E81" s="3" t="s">
        <v>30</v>
      </c>
      <c r="F81" t="s">
        <v>18</v>
      </c>
      <c r="G81" t="s">
        <v>96</v>
      </c>
      <c r="H81" s="11">
        <v>50000</v>
      </c>
    </row>
    <row r="82" spans="1:8" ht="14.5" customHeight="1" x14ac:dyDescent="0.35">
      <c r="A82" s="13" t="s">
        <v>87</v>
      </c>
      <c r="B82" s="14" t="s">
        <v>36</v>
      </c>
      <c r="C82">
        <v>50011</v>
      </c>
      <c r="D82" t="s">
        <v>68</v>
      </c>
      <c r="E82" s="3" t="s">
        <v>30</v>
      </c>
      <c r="F82" t="s">
        <v>18</v>
      </c>
      <c r="G82" t="s">
        <v>68</v>
      </c>
      <c r="H82" s="11">
        <v>1095832.0588235301</v>
      </c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Accounts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lastPrinted>2026-01-05T08:20:23Z</cp:lastPrinted>
  <dcterms:created xsi:type="dcterms:W3CDTF">2025-12-22T10:31:12Z</dcterms:created>
  <dcterms:modified xsi:type="dcterms:W3CDTF">2026-04-28T09:11:05Z</dcterms:modified>
</cp:coreProperties>
</file>